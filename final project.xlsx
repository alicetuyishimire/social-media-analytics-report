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3035" windowHeight="5175" firstSheet="2" activeTab="3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62913"/>
  <pivotCaches>
    <pivotCache cacheId="1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C25" i="1"/>
  <c r="C26" i="1"/>
  <c r="C32" i="1"/>
  <c r="C31" i="1"/>
  <c r="C30" i="1"/>
  <c r="C29" i="1"/>
  <c r="C28" i="1"/>
  <c r="C27" i="1"/>
  <c r="C24" i="1"/>
</calcChain>
</file>

<file path=xl/sharedStrings.xml><?xml version="1.0" encoding="utf-8"?>
<sst xmlns="http://schemas.openxmlformats.org/spreadsheetml/2006/main" count="130" uniqueCount="50">
  <si>
    <t>postid</t>
  </si>
  <si>
    <t>platform</t>
  </si>
  <si>
    <t>likes</t>
  </si>
  <si>
    <t>comments</t>
  </si>
  <si>
    <t>shares</t>
  </si>
  <si>
    <t>reach</t>
  </si>
  <si>
    <t>engagementrate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</si>
  <si>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</si>
  <si>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</si>
  <si>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</si>
  <si>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</si>
  <si>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</si>
  <si>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</si>
  <si>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</si>
  <si>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</si>
  <si>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</si>
  <si>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</si>
  <si>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</si>
  <si>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</si>
  <si>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</si>
  <si>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</si>
  <si>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</si>
  <si>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</si>
  <si>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</si>
  <si>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</si>
  <si>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</si>
  <si>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</si>
  <si>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instagram</t>
  </si>
  <si>
    <t>facebook</t>
  </si>
  <si>
    <t>twitter</t>
  </si>
  <si>
    <t>linkedin</t>
  </si>
  <si>
    <t>total nbr of like</t>
  </si>
  <si>
    <t>avg engagementrt</t>
  </si>
  <si>
    <t>max reach value</t>
  </si>
  <si>
    <t>nbr post on ig</t>
  </si>
  <si>
    <t>nbr poston fb</t>
  </si>
  <si>
    <t>nbr post on lndin</t>
  </si>
  <si>
    <t>nbr post on twitter</t>
  </si>
  <si>
    <t>total share</t>
  </si>
  <si>
    <t>avg nbr of comnt</t>
  </si>
  <si>
    <t>high/low engagmnt</t>
  </si>
  <si>
    <t>Row Labels</t>
  </si>
  <si>
    <t>Grand Total</t>
  </si>
  <si>
    <t>Sum of likes</t>
  </si>
  <si>
    <t>Sum of engagementrate</t>
  </si>
  <si>
    <t>Average of engagementrate</t>
  </si>
  <si>
    <t>Count of postid</t>
  </si>
  <si>
    <t>Sum of reach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</si>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</sst>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project.xlsx]Sheet4!PivotTable3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pie</a:t>
            </a:r>
            <a:r>
              <a:rPr lang="en-US" b="1" baseline="0">
                <a:solidFill>
                  <a:schemeClr val="accent5"/>
                </a:solidFill>
              </a:rPr>
              <a:t> chart showing posts per platform</a:t>
            </a:r>
            <a:endParaRPr lang="en-US" b="1">
              <a:solidFill>
                <a:schemeClr val="accent5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C-470A-BD5B-0D64D7EBB2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AC-470A-BD5B-0D64D7EBB2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AC-470A-BD5B-0D64D7EBB2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AC-470A-BD5B-0D64D7EBB2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AC-470A-BD5B-0D64D7EBB2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AC-470A-BD5B-0D64D7EBB2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AC-470A-BD5B-0D64D7EBB2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AC-470A-BD5B-0D64D7EBB2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AC-470A-BD5B-0D64D7EBB2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6AC-470A-BD5B-0D64D7EBB2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AC-470A-BD5B-0D64D7EBB2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AC-470A-BD5B-0D64D7EBB28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AC-470A-BD5B-0D64D7EBB28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6AC-470A-BD5B-0D64D7EBB28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AC-470A-BD5B-0D64D7EBB28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6AC-470A-BD5B-0D64D7EBB28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AC-470A-BD5B-0D64D7EBB28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6AC-470A-BD5B-0D64D7EBB28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6AC-470A-BD5B-0D64D7EBB28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6AC-470A-BD5B-0D64D7EBB28D}"/>
              </c:ext>
            </c:extLst>
          </c:dPt>
          <c:cat>
            <c:multiLvlStrRef>
              <c:f>Sheet4!$A$4:$A$28</c:f>
              <c:multiLvlStrCache>
                <c:ptCount val="20"/>
                <c:lvl>
                  <c:pt idx="0">
                    <c:v>p10</c:v>
                  </c:pt>
                  <c:pt idx="1">
                    <c:v>p14</c:v>
                  </c:pt>
                  <c:pt idx="2">
                    <c:v>p18</c:v>
                  </c:pt>
                  <c:pt idx="3">
                    <c:v>p2</c:v>
                  </c:pt>
                  <c:pt idx="4">
                    <c:v>p6</c:v>
                  </c:pt>
                  <c:pt idx="5">
                    <c:v>p1</c:v>
                  </c:pt>
                  <c:pt idx="6">
                    <c:v>p13</c:v>
                  </c:pt>
                  <c:pt idx="7">
                    <c:v>p17</c:v>
                  </c:pt>
                  <c:pt idx="8">
                    <c:v>p5</c:v>
                  </c:pt>
                  <c:pt idx="9">
                    <c:v>p9</c:v>
                  </c:pt>
                  <c:pt idx="10">
                    <c:v>p12</c:v>
                  </c:pt>
                  <c:pt idx="11">
                    <c:v>p16</c:v>
                  </c:pt>
                  <c:pt idx="12">
                    <c:v>p20</c:v>
                  </c:pt>
                  <c:pt idx="13">
                    <c:v>p4</c:v>
                  </c:pt>
                  <c:pt idx="14">
                    <c:v>p8</c:v>
                  </c:pt>
                  <c:pt idx="15">
                    <c:v>p11</c:v>
                  </c:pt>
                  <c:pt idx="16">
                    <c:v>p15</c:v>
                  </c:pt>
                  <c:pt idx="17">
                    <c:v>p19</c:v>
                  </c:pt>
                  <c:pt idx="18">
                    <c:v>p3</c:v>
                  </c:pt>
                  <c:pt idx="19">
                    <c:v>p7</c:v>
                  </c:pt>
                </c:lvl>
                <c:lvl>
                  <c:pt idx="0">
                    <c:v>facebook</c:v>
                  </c:pt>
                  <c:pt idx="5">
                    <c:v>instagram</c:v>
                  </c:pt>
                  <c:pt idx="10">
                    <c:v>linkedin</c:v>
                  </c:pt>
                  <c:pt idx="15">
                    <c:v>twitter</c:v>
                  </c:pt>
                </c:lvl>
              </c:multiLvlStrCache>
            </c:multiLvlStrRef>
          </c:cat>
          <c:val>
            <c:numRef>
              <c:f>Sheet4!$B$4:$B$28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3-4830-B6A8-7D484C681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project.xlsx]Sheet5!PivotTable4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twitter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38</c:v>
                </c:pt>
                <c:pt idx="1">
                  <c:v>40</c:v>
                </c:pt>
                <c:pt idx="2">
                  <c:v>28.6</c:v>
                </c:pt>
                <c:pt idx="3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D-4CC6-AA05-28F76C87A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418735"/>
        <c:axId val="1265420815"/>
      </c:barChart>
      <c:catAx>
        <c:axId val="126541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20815"/>
        <c:crosses val="autoZero"/>
        <c:auto val="1"/>
        <c:lblAlgn val="ctr"/>
        <c:lblOffset val="100"/>
        <c:noMultiLvlLbl val="0"/>
      </c:catAx>
      <c:valAx>
        <c:axId val="126542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project.xlsx]Sheet6!PivotTable5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Sheet6!$A$4:$A$24</c:f>
              <c:strCache>
                <c:ptCount val="20"/>
                <c:pt idx="0">
                  <c:v>p1</c:v>
                </c:pt>
                <c:pt idx="1">
                  <c:v>p10</c:v>
                </c:pt>
                <c:pt idx="2">
                  <c:v>p11</c:v>
                </c:pt>
                <c:pt idx="3">
                  <c:v>p12</c:v>
                </c:pt>
                <c:pt idx="4">
                  <c:v>p13</c:v>
                </c:pt>
                <c:pt idx="5">
                  <c:v>p14</c:v>
                </c:pt>
                <c:pt idx="6">
                  <c:v>p15</c:v>
                </c:pt>
                <c:pt idx="7">
                  <c:v>p16</c:v>
                </c:pt>
                <c:pt idx="8">
                  <c:v>p17</c:v>
                </c:pt>
                <c:pt idx="9">
                  <c:v>p18</c:v>
                </c:pt>
                <c:pt idx="10">
                  <c:v>p19</c:v>
                </c:pt>
                <c:pt idx="11">
                  <c:v>p2</c:v>
                </c:pt>
                <c:pt idx="12">
                  <c:v>p20</c:v>
                </c:pt>
                <c:pt idx="13">
                  <c:v>p3</c:v>
                </c:pt>
                <c:pt idx="14">
                  <c:v>p4</c:v>
                </c:pt>
                <c:pt idx="15">
                  <c:v>p5</c:v>
                </c:pt>
                <c:pt idx="16">
                  <c:v>p6</c:v>
                </c:pt>
                <c:pt idx="17">
                  <c:v>p7</c:v>
                </c:pt>
                <c:pt idx="18">
                  <c:v>p8</c:v>
                </c:pt>
                <c:pt idx="19">
                  <c:v>p9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5000</c:v>
                </c:pt>
                <c:pt idx="1">
                  <c:v>4900</c:v>
                </c:pt>
                <c:pt idx="2">
                  <c:v>4300</c:v>
                </c:pt>
                <c:pt idx="3">
                  <c:v>3700</c:v>
                </c:pt>
                <c:pt idx="4">
                  <c:v>5300</c:v>
                </c:pt>
                <c:pt idx="5">
                  <c:v>4700</c:v>
                </c:pt>
                <c:pt idx="6">
                  <c:v>4150</c:v>
                </c:pt>
                <c:pt idx="7">
                  <c:v>3550</c:v>
                </c:pt>
                <c:pt idx="8">
                  <c:v>5500</c:v>
                </c:pt>
                <c:pt idx="9">
                  <c:v>4700</c:v>
                </c:pt>
                <c:pt idx="10">
                  <c:v>4150</c:v>
                </c:pt>
                <c:pt idx="11">
                  <c:v>4500</c:v>
                </c:pt>
                <c:pt idx="12">
                  <c:v>3550</c:v>
                </c:pt>
                <c:pt idx="13">
                  <c:v>4000</c:v>
                </c:pt>
                <c:pt idx="14">
                  <c:v>3500</c:v>
                </c:pt>
                <c:pt idx="15">
                  <c:v>5200</c:v>
                </c:pt>
                <c:pt idx="16">
                  <c:v>4800</c:v>
                </c:pt>
                <c:pt idx="17">
                  <c:v>4200</c:v>
                </c:pt>
                <c:pt idx="18">
                  <c:v>3600</c:v>
                </c:pt>
                <c:pt idx="19">
                  <c:v>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3-487D-9BE0-886A97FA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617983"/>
        <c:axId val="1266618815"/>
      </c:lineChart>
      <c:catAx>
        <c:axId val="126661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18815"/>
        <c:crosses val="autoZero"/>
        <c:auto val="1"/>
        <c:lblAlgn val="ctr"/>
        <c:lblOffset val="100"/>
        <c:noMultiLvlLbl val="0"/>
      </c:catAx>
      <c:valAx>
        <c:axId val="126661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1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</xdr:colOff>
      <xdr:row>2</xdr:row>
      <xdr:rowOff>23812</xdr:rowOff>
    </xdr:from>
    <xdr:to>
      <xdr:col>9</xdr:col>
      <xdr:colOff>366712</xdr:colOff>
      <xdr:row>16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</xdr:colOff>
      <xdr:row>0</xdr:row>
      <xdr:rowOff>4762</xdr:rowOff>
    </xdr:from>
    <xdr:to>
      <xdr:col>9</xdr:col>
      <xdr:colOff>366712</xdr:colOff>
      <xdr:row>14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</xdr:colOff>
      <xdr:row>1</xdr:row>
      <xdr:rowOff>138112</xdr:rowOff>
    </xdr:from>
    <xdr:to>
      <xdr:col>9</xdr:col>
      <xdr:colOff>376237</xdr:colOff>
      <xdr:row>16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34.443205555559" createdVersion="6" refreshedVersion="6" minRefreshableVersion="3" recordCount="20">
  <cacheSource type="worksheet">
    <worksheetSource ref="A22:H42" sheet="Sheet1"/>
  </cacheSource>
  <cacheFields count="8">
    <cacheField name="postid" numFmtId="0">
      <sharedItems count="20">
        <s v="p1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</sharedItems>
    </cacheField>
    <cacheField name="platform" numFmtId="0">
      <sharedItems count="4">
        <s v="instagram"/>
        <s v="facebook"/>
        <s v="twitter"/>
        <s v="linkedin"/>
      </sharedItems>
    </cacheField>
    <cacheField name="likes" numFmtId="0">
      <sharedItems containsSemiMixedTypes="0" containsString="0" containsNumber="1" containsInteger="1" minValue="150" maxValue="370"/>
    </cacheField>
    <cacheField name="comments" numFmtId="0">
      <sharedItems containsSemiMixedTypes="0" containsString="0" containsNumber="1" containsInteger="1" minValue="20" maxValue="52"/>
    </cacheField>
    <cacheField name="shares" numFmtId="0">
      <sharedItems containsSemiMixedTypes="0" containsString="0" containsNumber="1" containsInteger="1" minValue="15" maxValue="35"/>
    </cacheField>
    <cacheField name="reach" numFmtId="0">
      <sharedItems containsSemiMixedTypes="0" containsString="0" containsNumber="1" containsInteger="1" minValue="3500" maxValue="5500"/>
    </cacheField>
    <cacheField name="engagementrate" numFmtId="0">
      <sharedItems containsSemiMixedTypes="0" containsString="0" containsNumber="1" minValue="5.3" maxValue="8.1999999999999993"/>
    </cacheField>
    <cacheField name="high/low engagm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320"/>
    <n v="40"/>
    <n v="25"/>
    <n v="5000"/>
    <n v="7.7"/>
    <s v="high"/>
  </r>
  <r>
    <x v="1"/>
    <x v="1"/>
    <n v="280"/>
    <n v="35"/>
    <n v="20"/>
    <n v="4500"/>
    <n v="7.4"/>
    <s v="high"/>
  </r>
  <r>
    <x v="2"/>
    <x v="2"/>
    <n v="190"/>
    <n v="25"/>
    <n v="30"/>
    <n v="4000"/>
    <n v="6.1"/>
    <s v="low"/>
  </r>
  <r>
    <x v="3"/>
    <x v="3"/>
    <n v="150"/>
    <n v="20"/>
    <n v="15"/>
    <n v="3500"/>
    <n v="5.3"/>
    <s v="low"/>
  </r>
  <r>
    <x v="4"/>
    <x v="0"/>
    <n v="340"/>
    <n v="45"/>
    <n v="28"/>
    <n v="5200"/>
    <n v="8"/>
    <s v="high"/>
  </r>
  <r>
    <x v="5"/>
    <x v="1"/>
    <n v="300"/>
    <n v="38"/>
    <n v="22"/>
    <n v="4800"/>
    <n v="7.5"/>
    <s v="high"/>
  </r>
  <r>
    <x v="6"/>
    <x v="2"/>
    <n v="210"/>
    <n v="28"/>
    <n v="32"/>
    <n v="4200"/>
    <n v="6.4"/>
    <s v="low"/>
  </r>
  <r>
    <x v="7"/>
    <x v="3"/>
    <n v="170"/>
    <n v="22"/>
    <n v="18"/>
    <n v="3600"/>
    <n v="5.8"/>
    <s v="low"/>
  </r>
  <r>
    <x v="8"/>
    <x v="0"/>
    <n v="360"/>
    <n v="50"/>
    <n v="30"/>
    <n v="5400"/>
    <n v="8.1"/>
    <s v="high"/>
  </r>
  <r>
    <x v="9"/>
    <x v="1"/>
    <n v="310"/>
    <n v="40"/>
    <n v="25"/>
    <n v="4900"/>
    <n v="7.8"/>
    <s v="high"/>
  </r>
  <r>
    <x v="10"/>
    <x v="2"/>
    <n v="220"/>
    <n v="30"/>
    <n v="35"/>
    <n v="4300"/>
    <n v="6.7"/>
    <s v="low"/>
  </r>
  <r>
    <x v="11"/>
    <x v="3"/>
    <n v="180"/>
    <n v="25"/>
    <n v="20"/>
    <n v="3700"/>
    <n v="6"/>
    <s v="low"/>
  </r>
  <r>
    <x v="12"/>
    <x v="0"/>
    <n v="350"/>
    <n v="48"/>
    <n v="29"/>
    <n v="5300"/>
    <n v="8"/>
    <s v="high"/>
  </r>
  <r>
    <x v="13"/>
    <x v="1"/>
    <n v="295"/>
    <n v="37"/>
    <n v="23"/>
    <n v="4700"/>
    <n v="7.6"/>
    <s v="high"/>
  </r>
  <r>
    <x v="14"/>
    <x v="2"/>
    <n v="205"/>
    <n v="27"/>
    <n v="33"/>
    <n v="4150"/>
    <n v="6.5"/>
    <s v="low"/>
  </r>
  <r>
    <x v="15"/>
    <x v="3"/>
    <n v="160"/>
    <n v="21"/>
    <n v="17"/>
    <n v="3550"/>
    <n v="5.6"/>
    <s v="low"/>
  </r>
  <r>
    <x v="16"/>
    <x v="0"/>
    <n v="370"/>
    <n v="52"/>
    <n v="31"/>
    <n v="5500"/>
    <n v="8.1999999999999993"/>
    <s v="high"/>
  </r>
  <r>
    <x v="17"/>
    <x v="1"/>
    <n v="305"/>
    <n v="39"/>
    <n v="24"/>
    <n v="4700"/>
    <n v="7.7"/>
    <s v="high"/>
  </r>
  <r>
    <x v="18"/>
    <x v="2"/>
    <n v="215"/>
    <n v="29"/>
    <n v="34"/>
    <n v="4150"/>
    <n v="6.6"/>
    <s v="low"/>
  </r>
  <r>
    <x v="19"/>
    <x v="3"/>
    <n v="175"/>
    <n v="24"/>
    <n v="19"/>
    <n v="3550"/>
    <n v="5.9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ik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rate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8" firstHeaderRow="1" firstDataRow="1" firstDataCol="1"/>
  <pivotFields count="8">
    <pivotField axis="axisRow" dataField="1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25">
    <i>
      <x/>
    </i>
    <i r="1">
      <x v="1"/>
    </i>
    <i r="1">
      <x v="5"/>
    </i>
    <i r="1">
      <x v="9"/>
    </i>
    <i r="1">
      <x v="11"/>
    </i>
    <i r="1">
      <x v="16"/>
    </i>
    <i>
      <x v="1"/>
    </i>
    <i r="1">
      <x/>
    </i>
    <i r="1">
      <x v="4"/>
    </i>
    <i r="1">
      <x v="8"/>
    </i>
    <i r="1">
      <x v="15"/>
    </i>
    <i r="1">
      <x v="19"/>
    </i>
    <i>
      <x v="2"/>
    </i>
    <i r="1">
      <x v="3"/>
    </i>
    <i r="1">
      <x v="7"/>
    </i>
    <i r="1">
      <x v="12"/>
    </i>
    <i r="1">
      <x v="14"/>
    </i>
    <i r="1">
      <x v="18"/>
    </i>
    <i>
      <x v="3"/>
    </i>
    <i r="1">
      <x v="2"/>
    </i>
    <i r="1">
      <x v="6"/>
    </i>
    <i r="1">
      <x v="10"/>
    </i>
    <i r="1">
      <x v="13"/>
    </i>
    <i r="1">
      <x v="17"/>
    </i>
    <i t="grand">
      <x/>
    </i>
  </rowItems>
  <colItems count="1">
    <i/>
  </colItems>
  <dataFields count="1">
    <dataField name="Count of postid" fld="0" subtotal="count" baseField="0" baseItem="0"/>
  </dataField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8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rat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8">
    <pivotField axis="axisRow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ach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23:C32" totalsRowShown="0">
  <autoFilter ref="B23:C32"/>
  <tableColumns count="2">
    <tableColumn id="1" name="Column1"/>
    <tableColumn id="2" name="Column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" t="s">
        <v>41</v>
      </c>
      <c r="B3" t="s">
        <v>43</v>
      </c>
    </row>
    <row r="4" spans="1:2" x14ac:dyDescent="0.25">
      <c r="A4" s="2" t="s">
        <v>28</v>
      </c>
      <c r="B4" s="3">
        <v>1490</v>
      </c>
    </row>
    <row r="5" spans="1:2" x14ac:dyDescent="0.25">
      <c r="A5" s="2" t="s">
        <v>27</v>
      </c>
      <c r="B5" s="3">
        <v>1740</v>
      </c>
    </row>
    <row r="6" spans="1:2" x14ac:dyDescent="0.25">
      <c r="A6" s="2" t="s">
        <v>30</v>
      </c>
      <c r="B6" s="3">
        <v>835</v>
      </c>
    </row>
    <row r="7" spans="1:2" x14ac:dyDescent="0.25">
      <c r="A7" s="2" t="s">
        <v>29</v>
      </c>
      <c r="B7" s="3">
        <v>1040</v>
      </c>
    </row>
    <row r="8" spans="1:2" x14ac:dyDescent="0.25">
      <c r="A8" s="2" t="s">
        <v>42</v>
      </c>
      <c r="B8" s="3">
        <v>5105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2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6.28515625" bestFit="1" customWidth="1"/>
  </cols>
  <sheetData>
    <row r="3" spans="1:2" x14ac:dyDescent="0.25">
      <c r="A3" s="1" t="s">
        <v>41</v>
      </c>
      <c r="B3" t="s">
        <v>45</v>
      </c>
    </row>
    <row r="4" spans="1:2" x14ac:dyDescent="0.25">
      <c r="A4" s="2" t="s">
        <v>28</v>
      </c>
      <c r="B4" s="3">
        <v>7.6</v>
      </c>
    </row>
    <row r="5" spans="1:2" x14ac:dyDescent="0.25">
      <c r="A5" s="2" t="s">
        <v>27</v>
      </c>
      <c r="B5" s="3">
        <v>8</v>
      </c>
    </row>
    <row r="6" spans="1:2" x14ac:dyDescent="0.25">
      <c r="A6" s="2" t="s">
        <v>30</v>
      </c>
      <c r="B6" s="3">
        <v>5.7200000000000006</v>
      </c>
    </row>
    <row r="7" spans="1:2" x14ac:dyDescent="0.25">
      <c r="A7" s="2" t="s">
        <v>29</v>
      </c>
      <c r="B7" s="3">
        <v>6.4599999999999991</v>
      </c>
    </row>
    <row r="8" spans="1:2" x14ac:dyDescent="0.25">
      <c r="A8" s="2" t="s">
        <v>42</v>
      </c>
      <c r="B8" s="3">
        <v>6.9450000000000003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opLeftCell="C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7109375" bestFit="1" customWidth="1"/>
  </cols>
  <sheetData>
    <row r="3" spans="1:2" x14ac:dyDescent="0.25">
      <c r="A3" s="1" t="s">
        <v>41</v>
      </c>
      <c r="B3" t="s">
        <v>46</v>
      </c>
    </row>
    <row r="4" spans="1:2" x14ac:dyDescent="0.25">
      <c r="A4" s="2" t="s">
        <v>28</v>
      </c>
      <c r="B4" s="3">
        <v>5</v>
      </c>
    </row>
    <row r="5" spans="1:2" x14ac:dyDescent="0.25">
      <c r="A5" s="4" t="s">
        <v>16</v>
      </c>
      <c r="B5" s="3">
        <v>1</v>
      </c>
    </row>
    <row r="6" spans="1:2" x14ac:dyDescent="0.25">
      <c r="A6" s="4" t="s">
        <v>20</v>
      </c>
      <c r="B6" s="3">
        <v>1</v>
      </c>
    </row>
    <row r="7" spans="1:2" x14ac:dyDescent="0.25">
      <c r="A7" s="4" t="s">
        <v>24</v>
      </c>
      <c r="B7" s="3">
        <v>1</v>
      </c>
    </row>
    <row r="8" spans="1:2" x14ac:dyDescent="0.25">
      <c r="A8" s="4" t="s">
        <v>8</v>
      </c>
      <c r="B8" s="3">
        <v>1</v>
      </c>
    </row>
    <row r="9" spans="1:2" x14ac:dyDescent="0.25">
      <c r="A9" s="4" t="s">
        <v>12</v>
      </c>
      <c r="B9" s="3">
        <v>1</v>
      </c>
    </row>
    <row r="10" spans="1:2" x14ac:dyDescent="0.25">
      <c r="A10" s="2" t="s">
        <v>27</v>
      </c>
      <c r="B10" s="3">
        <v>5</v>
      </c>
    </row>
    <row r="11" spans="1:2" x14ac:dyDescent="0.25">
      <c r="A11" s="4" t="s">
        <v>7</v>
      </c>
      <c r="B11" s="3">
        <v>1</v>
      </c>
    </row>
    <row r="12" spans="1:2" x14ac:dyDescent="0.25">
      <c r="A12" s="4" t="s">
        <v>19</v>
      </c>
      <c r="B12" s="3">
        <v>1</v>
      </c>
    </row>
    <row r="13" spans="1:2" x14ac:dyDescent="0.25">
      <c r="A13" s="4" t="s">
        <v>23</v>
      </c>
      <c r="B13" s="3">
        <v>1</v>
      </c>
    </row>
    <row r="14" spans="1:2" x14ac:dyDescent="0.25">
      <c r="A14" s="4" t="s">
        <v>11</v>
      </c>
      <c r="B14" s="3">
        <v>1</v>
      </c>
    </row>
    <row r="15" spans="1:2" x14ac:dyDescent="0.25">
      <c r="A15" s="4" t="s">
        <v>15</v>
      </c>
      <c r="B15" s="3">
        <v>1</v>
      </c>
    </row>
    <row r="16" spans="1:2" x14ac:dyDescent="0.25">
      <c r="A16" s="2" t="s">
        <v>30</v>
      </c>
      <c r="B16" s="3">
        <v>5</v>
      </c>
    </row>
    <row r="17" spans="1:2" x14ac:dyDescent="0.25">
      <c r="A17" s="4" t="s">
        <v>18</v>
      </c>
      <c r="B17" s="3">
        <v>1</v>
      </c>
    </row>
    <row r="18" spans="1:2" x14ac:dyDescent="0.25">
      <c r="A18" s="4" t="s">
        <v>22</v>
      </c>
      <c r="B18" s="3">
        <v>1</v>
      </c>
    </row>
    <row r="19" spans="1:2" x14ac:dyDescent="0.25">
      <c r="A19" s="4" t="s">
        <v>26</v>
      </c>
      <c r="B19" s="3">
        <v>1</v>
      </c>
    </row>
    <row r="20" spans="1:2" x14ac:dyDescent="0.25">
      <c r="A20" s="4" t="s">
        <v>10</v>
      </c>
      <c r="B20" s="3">
        <v>1</v>
      </c>
    </row>
    <row r="21" spans="1:2" x14ac:dyDescent="0.25">
      <c r="A21" s="4" t="s">
        <v>14</v>
      </c>
      <c r="B21" s="3">
        <v>1</v>
      </c>
    </row>
    <row r="22" spans="1:2" x14ac:dyDescent="0.25">
      <c r="A22" s="2" t="s">
        <v>29</v>
      </c>
      <c r="B22" s="3">
        <v>5</v>
      </c>
    </row>
    <row r="23" spans="1:2" x14ac:dyDescent="0.25">
      <c r="A23" s="4" t="s">
        <v>17</v>
      </c>
      <c r="B23" s="3">
        <v>1</v>
      </c>
    </row>
    <row r="24" spans="1:2" x14ac:dyDescent="0.25">
      <c r="A24" s="4" t="s">
        <v>21</v>
      </c>
      <c r="B24" s="3">
        <v>1</v>
      </c>
    </row>
    <row r="25" spans="1:2" x14ac:dyDescent="0.25">
      <c r="A25" s="4" t="s">
        <v>25</v>
      </c>
      <c r="B25" s="3">
        <v>1</v>
      </c>
    </row>
    <row r="26" spans="1:2" x14ac:dyDescent="0.25">
      <c r="A26" s="4" t="s">
        <v>9</v>
      </c>
      <c r="B26" s="3">
        <v>1</v>
      </c>
    </row>
    <row r="27" spans="1:2" x14ac:dyDescent="0.25">
      <c r="A27" s="4" t="s">
        <v>13</v>
      </c>
      <c r="B27" s="3">
        <v>1</v>
      </c>
    </row>
    <row r="28" spans="1:2" x14ac:dyDescent="0.25">
      <c r="A28" s="2" t="s">
        <v>42</v>
      </c>
      <c r="B28" s="3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topLeftCell="A3" workbookViewId="0">
      <selection activeCell="M14" sqref="M14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3" spans="1:2" x14ac:dyDescent="0.25">
      <c r="A3" s="1" t="s">
        <v>41</v>
      </c>
      <c r="B3" t="s">
        <v>44</v>
      </c>
    </row>
    <row r="4" spans="1:2" x14ac:dyDescent="0.25">
      <c r="A4" s="2" t="s">
        <v>28</v>
      </c>
      <c r="B4" s="3">
        <v>38</v>
      </c>
    </row>
    <row r="5" spans="1:2" x14ac:dyDescent="0.25">
      <c r="A5" s="2" t="s">
        <v>27</v>
      </c>
      <c r="B5" s="3">
        <v>40</v>
      </c>
    </row>
    <row r="6" spans="1:2" x14ac:dyDescent="0.25">
      <c r="A6" s="2" t="s">
        <v>30</v>
      </c>
      <c r="B6" s="3">
        <v>28.6</v>
      </c>
    </row>
    <row r="7" spans="1:2" x14ac:dyDescent="0.25">
      <c r="A7" s="2" t="s">
        <v>29</v>
      </c>
      <c r="B7" s="3">
        <v>32.299999999999997</v>
      </c>
    </row>
    <row r="8" spans="1:2" x14ac:dyDescent="0.25">
      <c r="A8" s="2" t="s">
        <v>42</v>
      </c>
      <c r="B8" s="3">
        <v>138.89999999999998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K8" sqref="K8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3" spans="1:2" x14ac:dyDescent="0.25">
      <c r="A3" s="1" t="s">
        <v>41</v>
      </c>
      <c r="B3" t="s">
        <v>47</v>
      </c>
    </row>
    <row r="4" spans="1:2" x14ac:dyDescent="0.25">
      <c r="A4" s="2" t="s">
        <v>7</v>
      </c>
      <c r="B4" s="3">
        <v>5000</v>
      </c>
    </row>
    <row r="5" spans="1:2" x14ac:dyDescent="0.25">
      <c r="A5" s="2" t="s">
        <v>16</v>
      </c>
      <c r="B5" s="3">
        <v>4900</v>
      </c>
    </row>
    <row r="6" spans="1:2" x14ac:dyDescent="0.25">
      <c r="A6" s="2" t="s">
        <v>17</v>
      </c>
      <c r="B6" s="3">
        <v>4300</v>
      </c>
    </row>
    <row r="7" spans="1:2" x14ac:dyDescent="0.25">
      <c r="A7" s="2" t="s">
        <v>18</v>
      </c>
      <c r="B7" s="3">
        <v>3700</v>
      </c>
    </row>
    <row r="8" spans="1:2" x14ac:dyDescent="0.25">
      <c r="A8" s="2" t="s">
        <v>19</v>
      </c>
      <c r="B8" s="3">
        <v>5300</v>
      </c>
    </row>
    <row r="9" spans="1:2" x14ac:dyDescent="0.25">
      <c r="A9" s="2" t="s">
        <v>20</v>
      </c>
      <c r="B9" s="3">
        <v>4700</v>
      </c>
    </row>
    <row r="10" spans="1:2" x14ac:dyDescent="0.25">
      <c r="A10" s="2" t="s">
        <v>21</v>
      </c>
      <c r="B10" s="3">
        <v>4150</v>
      </c>
    </row>
    <row r="11" spans="1:2" x14ac:dyDescent="0.25">
      <c r="A11" s="2" t="s">
        <v>22</v>
      </c>
      <c r="B11" s="3">
        <v>3550</v>
      </c>
    </row>
    <row r="12" spans="1:2" x14ac:dyDescent="0.25">
      <c r="A12" s="2" t="s">
        <v>23</v>
      </c>
      <c r="B12" s="3">
        <v>5500</v>
      </c>
    </row>
    <row r="13" spans="1:2" x14ac:dyDescent="0.25">
      <c r="A13" s="2" t="s">
        <v>24</v>
      </c>
      <c r="B13" s="3">
        <v>4700</v>
      </c>
    </row>
    <row r="14" spans="1:2" x14ac:dyDescent="0.25">
      <c r="A14" s="2" t="s">
        <v>25</v>
      </c>
      <c r="B14" s="3">
        <v>4150</v>
      </c>
    </row>
    <row r="15" spans="1:2" x14ac:dyDescent="0.25">
      <c r="A15" s="2" t="s">
        <v>8</v>
      </c>
      <c r="B15" s="3">
        <v>4500</v>
      </c>
    </row>
    <row r="16" spans="1:2" x14ac:dyDescent="0.25">
      <c r="A16" s="2" t="s">
        <v>26</v>
      </c>
      <c r="B16" s="3">
        <v>3550</v>
      </c>
    </row>
    <row r="17" spans="1:2" x14ac:dyDescent="0.25">
      <c r="A17" s="2" t="s">
        <v>9</v>
      </c>
      <c r="B17" s="3">
        <v>4000</v>
      </c>
    </row>
    <row r="18" spans="1:2" x14ac:dyDescent="0.25">
      <c r="A18" s="2" t="s">
        <v>10</v>
      </c>
      <c r="B18" s="3">
        <v>3500</v>
      </c>
    </row>
    <row r="19" spans="1:2" x14ac:dyDescent="0.25">
      <c r="A19" s="2" t="s">
        <v>11</v>
      </c>
      <c r="B19" s="3">
        <v>5200</v>
      </c>
    </row>
    <row r="20" spans="1:2" x14ac:dyDescent="0.25">
      <c r="A20" s="2" t="s">
        <v>12</v>
      </c>
      <c r="B20" s="3">
        <v>4800</v>
      </c>
    </row>
    <row r="21" spans="1:2" x14ac:dyDescent="0.25">
      <c r="A21" s="2" t="s">
        <v>13</v>
      </c>
      <c r="B21" s="3">
        <v>4200</v>
      </c>
    </row>
    <row r="22" spans="1:2" x14ac:dyDescent="0.25">
      <c r="A22" s="2" t="s">
        <v>14</v>
      </c>
      <c r="B22" s="3">
        <v>3600</v>
      </c>
    </row>
    <row r="23" spans="1:2" x14ac:dyDescent="0.25">
      <c r="A23" s="2" t="s">
        <v>15</v>
      </c>
      <c r="B23" s="3">
        <v>5400</v>
      </c>
    </row>
    <row r="24" spans="1:2" x14ac:dyDescent="0.25">
      <c r="A24" s="2" t="s">
        <v>42</v>
      </c>
      <c r="B24" s="3">
        <v>88700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26" workbookViewId="0">
      <selection activeCell="E33" sqref="E33"/>
    </sheetView>
  </sheetViews>
  <sheetFormatPr defaultRowHeight="15" x14ac:dyDescent="0.25"/>
  <cols>
    <col min="1" max="1" width="9" customWidth="1"/>
    <col min="2" max="2" width="18.28515625" customWidth="1"/>
    <col min="3" max="3" width="11" customWidth="1"/>
    <col min="4" max="4" width="17.85546875" customWidth="1"/>
    <col min="5" max="5" width="12.85546875" customWidth="1"/>
    <col min="6" max="6" width="12.140625" customWidth="1"/>
    <col min="7" max="7" width="17.42578125" customWidth="1"/>
    <col min="8" max="8" width="1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</row>
    <row r="2" spans="1:8" x14ac:dyDescent="0.25">
      <c r="A2" t="s">
        <v>7</v>
      </c>
      <c r="B2" t="s">
        <v>27</v>
      </c>
      <c r="C2">
        <v>320</v>
      </c>
      <c r="D2">
        <v>40</v>
      </c>
      <c r="E2">
        <v>25</v>
      </c>
      <c r="F2">
        <v>5000</v>
      </c>
      <c r="G2">
        <v>7.7</v>
      </c>
      <c r="H2" t="str">
        <f>IF(G2:G2&gt;7,"high","low")</f>
        <v>high</v>
      </c>
    </row>
    <row r="3" spans="1:8" x14ac:dyDescent="0.25">
      <c r="A3" t="s">
        <v>8</v>
      </c>
      <c r="B3" t="s">
        <v>28</v>
      </c>
      <c r="C3">
        <v>280</v>
      </c>
      <c r="D3">
        <v>35</v>
      </c>
      <c r="E3">
        <v>20</v>
      </c>
      <c r="F3">
        <v>4500</v>
      </c>
      <c r="G3">
        <v>7.4</v>
      </c>
      <c r="H3" t="str">
        <f>IF(G3&gt;7,"high","low")</f>
        <v>high</v>
      </c>
    </row>
    <row r="4" spans="1:8" x14ac:dyDescent="0.25">
      <c r="A4" t="s">
        <v>9</v>
      </c>
      <c r="B4" t="s">
        <v>29</v>
      </c>
      <c r="C4">
        <v>190</v>
      </c>
      <c r="D4">
        <v>25</v>
      </c>
      <c r="E4">
        <v>30</v>
      </c>
      <c r="F4">
        <v>4000</v>
      </c>
      <c r="G4">
        <v>6.1</v>
      </c>
      <c r="H4" t="str">
        <f>IF(G5&gt;7,"high","low")</f>
        <v>low</v>
      </c>
    </row>
    <row r="5" spans="1:8" x14ac:dyDescent="0.25">
      <c r="A5" t="s">
        <v>10</v>
      </c>
      <c r="B5" t="s">
        <v>30</v>
      </c>
      <c r="C5">
        <v>150</v>
      </c>
      <c r="D5">
        <v>20</v>
      </c>
      <c r="E5">
        <v>15</v>
      </c>
      <c r="F5">
        <v>3500</v>
      </c>
      <c r="G5">
        <v>5.3</v>
      </c>
      <c r="H5" t="str">
        <f>IF(G5&gt;7,"high","low")</f>
        <v>low</v>
      </c>
    </row>
    <row r="6" spans="1:8" x14ac:dyDescent="0.25">
      <c r="A6" t="s">
        <v>11</v>
      </c>
      <c r="B6" t="s">
        <v>27</v>
      </c>
      <c r="C6">
        <v>340</v>
      </c>
      <c r="D6">
        <v>45</v>
      </c>
      <c r="E6">
        <v>28</v>
      </c>
      <c r="F6">
        <v>5200</v>
      </c>
      <c r="G6">
        <v>8</v>
      </c>
      <c r="H6" t="str">
        <f>IF(G6&gt;7,"high","low")</f>
        <v>high</v>
      </c>
    </row>
    <row r="7" spans="1:8" x14ac:dyDescent="0.25">
      <c r="A7" t="s">
        <v>12</v>
      </c>
      <c r="B7" t="s">
        <v>28</v>
      </c>
      <c r="C7">
        <v>300</v>
      </c>
      <c r="D7">
        <v>38</v>
      </c>
      <c r="E7">
        <v>22</v>
      </c>
      <c r="F7">
        <v>4800</v>
      </c>
      <c r="G7">
        <v>7.5</v>
      </c>
      <c r="H7" t="str">
        <f>IF(G7&gt;7,"high","low")</f>
        <v>high</v>
      </c>
    </row>
    <row r="8" spans="1:8" x14ac:dyDescent="0.25">
      <c r="A8" t="s">
        <v>13</v>
      </c>
      <c r="B8" t="s">
        <v>29</v>
      </c>
      <c r="C8">
        <v>210</v>
      </c>
      <c r="D8">
        <v>28</v>
      </c>
      <c r="E8">
        <v>32</v>
      </c>
      <c r="F8">
        <v>4200</v>
      </c>
      <c r="G8">
        <v>6.4</v>
      </c>
      <c r="H8" t="str">
        <f>IF(G9&gt;7,"high","low")</f>
        <v>low</v>
      </c>
    </row>
    <row r="9" spans="1:8" x14ac:dyDescent="0.25">
      <c r="A9" t="s">
        <v>14</v>
      </c>
      <c r="B9" t="s">
        <v>30</v>
      </c>
      <c r="C9">
        <v>170</v>
      </c>
      <c r="D9">
        <v>22</v>
      </c>
      <c r="E9">
        <v>18</v>
      </c>
      <c r="F9">
        <v>3600</v>
      </c>
      <c r="G9">
        <v>5.8</v>
      </c>
      <c r="H9" t="str">
        <f t="shared" ref="H9:H21" si="0">IF(G9&gt;7,"high","low")</f>
        <v>low</v>
      </c>
    </row>
    <row r="10" spans="1:8" x14ac:dyDescent="0.25">
      <c r="A10" t="s">
        <v>15</v>
      </c>
      <c r="B10" t="s">
        <v>27</v>
      </c>
      <c r="C10">
        <v>360</v>
      </c>
      <c r="D10">
        <v>50</v>
      </c>
      <c r="E10">
        <v>30</v>
      </c>
      <c r="F10">
        <v>5400</v>
      </c>
      <c r="G10">
        <v>8.1</v>
      </c>
      <c r="H10" t="str">
        <f t="shared" si="0"/>
        <v>high</v>
      </c>
    </row>
    <row r="11" spans="1:8" x14ac:dyDescent="0.25">
      <c r="A11" t="s">
        <v>16</v>
      </c>
      <c r="B11" t="s">
        <v>28</v>
      </c>
      <c r="C11">
        <v>310</v>
      </c>
      <c r="D11">
        <v>40</v>
      </c>
      <c r="E11">
        <v>25</v>
      </c>
      <c r="F11">
        <v>4900</v>
      </c>
      <c r="G11">
        <v>7.8</v>
      </c>
      <c r="H11" t="str">
        <f t="shared" si="0"/>
        <v>high</v>
      </c>
    </row>
    <row r="12" spans="1:8" x14ac:dyDescent="0.25">
      <c r="A12" t="s">
        <v>17</v>
      </c>
      <c r="B12" t="s">
        <v>29</v>
      </c>
      <c r="C12">
        <v>220</v>
      </c>
      <c r="D12">
        <v>30</v>
      </c>
      <c r="E12">
        <v>35</v>
      </c>
      <c r="F12">
        <v>4300</v>
      </c>
      <c r="G12">
        <v>6.7</v>
      </c>
      <c r="H12" t="str">
        <f t="shared" si="0"/>
        <v>low</v>
      </c>
    </row>
    <row r="13" spans="1:8" x14ac:dyDescent="0.25">
      <c r="A13" t="s">
        <v>18</v>
      </c>
      <c r="B13" t="s">
        <v>30</v>
      </c>
      <c r="C13">
        <v>180</v>
      </c>
      <c r="D13">
        <v>25</v>
      </c>
      <c r="E13">
        <v>20</v>
      </c>
      <c r="F13">
        <v>3700</v>
      </c>
      <c r="G13">
        <v>6</v>
      </c>
      <c r="H13" t="str">
        <f t="shared" si="0"/>
        <v>low</v>
      </c>
    </row>
    <row r="14" spans="1:8" x14ac:dyDescent="0.25">
      <c r="A14" t="s">
        <v>19</v>
      </c>
      <c r="B14" t="s">
        <v>27</v>
      </c>
      <c r="C14">
        <v>350</v>
      </c>
      <c r="D14">
        <v>48</v>
      </c>
      <c r="E14">
        <v>29</v>
      </c>
      <c r="F14">
        <v>5300</v>
      </c>
      <c r="G14">
        <v>8</v>
      </c>
      <c r="H14" t="str">
        <f t="shared" si="0"/>
        <v>high</v>
      </c>
    </row>
    <row r="15" spans="1:8" x14ac:dyDescent="0.25">
      <c r="A15" t="s">
        <v>20</v>
      </c>
      <c r="B15" t="s">
        <v>28</v>
      </c>
      <c r="C15">
        <v>295</v>
      </c>
      <c r="D15">
        <v>37</v>
      </c>
      <c r="E15">
        <v>23</v>
      </c>
      <c r="F15">
        <v>4700</v>
      </c>
      <c r="G15">
        <v>7.6</v>
      </c>
      <c r="H15" t="str">
        <f t="shared" si="0"/>
        <v>high</v>
      </c>
    </row>
    <row r="16" spans="1:8" x14ac:dyDescent="0.25">
      <c r="A16" t="s">
        <v>21</v>
      </c>
      <c r="B16" t="s">
        <v>29</v>
      </c>
      <c r="C16">
        <v>205</v>
      </c>
      <c r="D16">
        <v>27</v>
      </c>
      <c r="E16">
        <v>33</v>
      </c>
      <c r="F16">
        <v>4150</v>
      </c>
      <c r="G16">
        <v>6.5</v>
      </c>
      <c r="H16" t="str">
        <f t="shared" si="0"/>
        <v>low</v>
      </c>
    </row>
    <row r="17" spans="1:8" x14ac:dyDescent="0.25">
      <c r="A17" t="s">
        <v>22</v>
      </c>
      <c r="B17" t="s">
        <v>30</v>
      </c>
      <c r="C17">
        <v>160</v>
      </c>
      <c r="D17">
        <v>21</v>
      </c>
      <c r="E17">
        <v>17</v>
      </c>
      <c r="F17">
        <v>3550</v>
      </c>
      <c r="G17">
        <v>5.6</v>
      </c>
      <c r="H17" t="str">
        <f t="shared" si="0"/>
        <v>low</v>
      </c>
    </row>
    <row r="18" spans="1:8" x14ac:dyDescent="0.25">
      <c r="A18" t="s">
        <v>23</v>
      </c>
      <c r="B18" t="s">
        <v>27</v>
      </c>
      <c r="C18">
        <v>370</v>
      </c>
      <c r="D18">
        <v>52</v>
      </c>
      <c r="E18">
        <v>31</v>
      </c>
      <c r="F18">
        <v>5500</v>
      </c>
      <c r="G18">
        <v>8.1999999999999993</v>
      </c>
      <c r="H18" t="str">
        <f t="shared" si="0"/>
        <v>high</v>
      </c>
    </row>
    <row r="19" spans="1:8" x14ac:dyDescent="0.25">
      <c r="A19" t="s">
        <v>24</v>
      </c>
      <c r="B19" t="s">
        <v>28</v>
      </c>
      <c r="C19">
        <v>305</v>
      </c>
      <c r="D19">
        <v>39</v>
      </c>
      <c r="E19">
        <v>24</v>
      </c>
      <c r="F19">
        <v>4700</v>
      </c>
      <c r="G19">
        <v>7.7</v>
      </c>
      <c r="H19" t="str">
        <f t="shared" si="0"/>
        <v>high</v>
      </c>
    </row>
    <row r="20" spans="1:8" x14ac:dyDescent="0.25">
      <c r="A20" t="s">
        <v>25</v>
      </c>
      <c r="B20" t="s">
        <v>29</v>
      </c>
      <c r="C20">
        <v>215</v>
      </c>
      <c r="D20">
        <v>29</v>
      </c>
      <c r="E20">
        <v>34</v>
      </c>
      <c r="F20">
        <v>4150</v>
      </c>
      <c r="G20">
        <v>6.6</v>
      </c>
      <c r="H20" t="str">
        <f t="shared" si="0"/>
        <v>low</v>
      </c>
    </row>
    <row r="21" spans="1:8" x14ac:dyDescent="0.25">
      <c r="A21" t="s">
        <v>26</v>
      </c>
      <c r="B21" t="s">
        <v>30</v>
      </c>
      <c r="C21">
        <v>175</v>
      </c>
      <c r="D21">
        <v>24</v>
      </c>
      <c r="E21">
        <v>19</v>
      </c>
      <c r="F21">
        <v>3550</v>
      </c>
      <c r="G21">
        <v>5.9</v>
      </c>
      <c r="H21" t="str">
        <f t="shared" si="0"/>
        <v>low</v>
      </c>
    </row>
    <row r="23" spans="1:8" x14ac:dyDescent="0.25">
      <c r="B23" t="s">
        <v>48</v>
      </c>
      <c r="C23" t="s">
        <v>49</v>
      </c>
    </row>
    <row r="24" spans="1:8" x14ac:dyDescent="0.25">
      <c r="B24" t="s">
        <v>31</v>
      </c>
      <c r="C24">
        <f>SUM(C2:C21)</f>
        <v>5105</v>
      </c>
    </row>
    <row r="25" spans="1:8" x14ac:dyDescent="0.25">
      <c r="B25" t="s">
        <v>32</v>
      </c>
      <c r="C25">
        <f>AVERAGE(G2:G21)</f>
        <v>6.9450000000000003</v>
      </c>
    </row>
    <row r="26" spans="1:8" x14ac:dyDescent="0.25">
      <c r="B26" t="s">
        <v>33</v>
      </c>
      <c r="C26">
        <f>MAX(F2:F21)</f>
        <v>5500</v>
      </c>
    </row>
    <row r="27" spans="1:8" x14ac:dyDescent="0.25">
      <c r="B27" t="s">
        <v>34</v>
      </c>
      <c r="C27">
        <f>COUNTIF(B2:B21,"instagram")</f>
        <v>5</v>
      </c>
    </row>
    <row r="28" spans="1:8" x14ac:dyDescent="0.25">
      <c r="B28" t="s">
        <v>35</v>
      </c>
      <c r="C28">
        <f>COUNTIF(B2:B21,"facebook")</f>
        <v>5</v>
      </c>
    </row>
    <row r="29" spans="1:8" x14ac:dyDescent="0.25">
      <c r="B29" t="s">
        <v>36</v>
      </c>
      <c r="C29">
        <f>COUNTIF(B2:B21,"linkedin")</f>
        <v>5</v>
      </c>
    </row>
    <row r="30" spans="1:8" x14ac:dyDescent="0.25">
      <c r="B30" t="s">
        <v>37</v>
      </c>
      <c r="C30">
        <f>COUNTIF(B2:B21,"twitter")</f>
        <v>5</v>
      </c>
    </row>
    <row r="31" spans="1:8" x14ac:dyDescent="0.25">
      <c r="B31" t="s">
        <v>38</v>
      </c>
      <c r="C31">
        <f>SUM(E2:E21)</f>
        <v>510</v>
      </c>
    </row>
    <row r="32" spans="1:8" x14ac:dyDescent="0.25">
      <c r="B32" t="s">
        <v>39</v>
      </c>
      <c r="C32">
        <f>AVERAGE(D2:D21)</f>
        <v>33.75</v>
      </c>
    </row>
  </sheetData>
  <conditionalFormatting sqref="B2:B21">
    <cfRule type="containsText" dxfId="15" priority="16" operator="containsText" text="instagram">
      <formula>NOT(ISERROR(SEARCH("instagram",B2)))</formula>
    </cfRule>
  </conditionalFormatting>
  <conditionalFormatting sqref="F2:F21">
    <cfRule type="cellIs" dxfId="14" priority="13" operator="greaterThan">
      <formula>5400</formula>
    </cfRule>
    <cfRule type="cellIs" dxfId="13" priority="15" operator="greaterThan">
      <formula>5000</formula>
    </cfRule>
  </conditionalFormatting>
  <conditionalFormatting sqref="G2:G21">
    <cfRule type="cellIs" dxfId="12" priority="14" operator="greaterThan">
      <formula>8</formula>
    </cfRule>
  </conditionalFormatting>
  <conditionalFormatting sqref="C2:C21">
    <cfRule type="top10" dxfId="11" priority="12" rank="1"/>
  </conditionalFormatting>
  <conditionalFormatting sqref="D2:D21">
    <cfRule type="top10" dxfId="10" priority="2" rank="10"/>
    <cfRule type="cellIs" dxfId="9" priority="11" operator="greaterThan">
      <formula>45</formula>
    </cfRule>
  </conditionalFormatting>
  <conditionalFormatting sqref="E2:E21">
    <cfRule type="top10" dxfId="8" priority="1" rank="10"/>
    <cfRule type="cellIs" dxfId="7" priority="10" operator="greaterThan">
      <formula>30</formula>
    </cfRule>
  </conditionalFormatting>
  <conditionalFormatting sqref="A1:H21">
    <cfRule type="top10" dxfId="6" priority="9" rank="10"/>
  </conditionalFormatting>
  <conditionalFormatting sqref="G1:G21">
    <cfRule type="top10" dxfId="5" priority="8" rank="10"/>
  </conditionalFormatting>
  <conditionalFormatting sqref="H1:H21">
    <cfRule type="top10" dxfId="4" priority="4" rank="10"/>
    <cfRule type="top10" dxfId="3" priority="7" rank="10"/>
  </conditionalFormatting>
  <conditionalFormatting sqref="G2:H21">
    <cfRule type="top10" dxfId="2" priority="6" rank="10"/>
  </conditionalFormatting>
  <conditionalFormatting sqref="H2:H21">
    <cfRule type="top10" dxfId="1" priority="5" rank="10"/>
  </conditionalFormatting>
  <conditionalFormatting sqref="C1:C21">
    <cfRule type="top10" dxfId="0" priority="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2026-04-23T11:02:10Z</cp:lastPrinted>
  <dcterms:created xsi:type="dcterms:W3CDTF">2026-04-22T16:18:08Z</dcterms:created>
  <dcterms:modified xsi:type="dcterms:W3CDTF">2026-04-23T11:04:02Z</dcterms:modified>
</cp:coreProperties>
</file>